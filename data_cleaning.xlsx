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6990" firstSheet="2" activeTab="3"/>
  </bookViews>
  <sheets>
    <sheet name="introduction" sheetId="1" r:id="rId1"/>
    <sheet name="XLOOKUP" sheetId="2" r:id="rId2"/>
    <sheet name="cleaning sample dataset" sheetId="9" r:id="rId3"/>
    <sheet name="cleaned_dataset" sheetId="11" r:id="rId4"/>
  </sheets>
  <definedNames>
    <definedName name="Slicer_category">#N/A</definedName>
  </definedNames>
  <calcPr calcId="191028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5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J18" i="9" l="1"/>
  <c r="J17" i="9"/>
  <c r="J16" i="9"/>
  <c r="J15" i="9"/>
  <c r="J14" i="9"/>
  <c r="J13" i="9"/>
  <c r="G7" i="9"/>
  <c r="H7" i="9"/>
  <c r="I7" i="9"/>
  <c r="K7" i="9"/>
  <c r="L7" i="9"/>
  <c r="M7" i="9"/>
  <c r="M3" i="9"/>
  <c r="M4" i="9"/>
  <c r="M5" i="9"/>
  <c r="M6" i="9"/>
  <c r="M8" i="9"/>
  <c r="M9" i="9"/>
  <c r="M2" i="9"/>
  <c r="L3" i="9"/>
  <c r="L4" i="9"/>
  <c r="L5" i="9"/>
  <c r="L6" i="9"/>
  <c r="L8" i="9"/>
  <c r="L9" i="9"/>
  <c r="L2" i="9"/>
  <c r="K3" i="9"/>
  <c r="K4" i="9"/>
  <c r="K5" i="9"/>
  <c r="K6" i="9"/>
  <c r="K8" i="9"/>
  <c r="K9" i="9"/>
  <c r="K2" i="9"/>
  <c r="I3" i="9"/>
  <c r="I4" i="9"/>
  <c r="I5" i="9"/>
  <c r="I6" i="9"/>
  <c r="I8" i="9"/>
  <c r="I9" i="9"/>
  <c r="I2" i="9"/>
  <c r="G3" i="9"/>
  <c r="G4" i="9"/>
  <c r="G5" i="9"/>
  <c r="G6" i="9"/>
  <c r="G8" i="9"/>
  <c r="G9" i="9"/>
  <c r="G2" i="9"/>
  <c r="N7" i="9" s="1"/>
  <c r="D15" i="2"/>
  <c r="D16" i="2"/>
  <c r="D17" i="2"/>
  <c r="D14" i="2"/>
  <c r="K8" i="2" a="1"/>
  <c r="K8" i="2"/>
  <c r="J8" i="2" a="1"/>
  <c r="J8" i="2"/>
  <c r="I8" i="2" a="1"/>
  <c r="I8" i="2"/>
  <c r="L2" i="2" a="1"/>
  <c r="L2" i="2"/>
  <c r="L3" i="2" a="1"/>
  <c r="L3" i="2"/>
  <c r="L4" i="2" a="1"/>
  <c r="L4" i="2"/>
  <c r="K3" i="2" a="1"/>
  <c r="K3" i="2"/>
  <c r="K4" i="2" a="1"/>
  <c r="K4" i="2"/>
  <c r="K2" i="2" a="1"/>
  <c r="K2" i="2"/>
  <c r="J2" i="2" a="1"/>
  <c r="J2" i="2"/>
  <c r="J3" i="2" a="1"/>
  <c r="J3" i="2"/>
  <c r="J4" i="2" a="1"/>
  <c r="J4" i="2"/>
  <c r="G6" i="1" a="1"/>
  <c r="G6" i="1"/>
  <c r="H6" i="1" s="1"/>
  <c r="H2" i="9" l="1"/>
  <c r="N2" i="9"/>
  <c r="H9" i="9"/>
  <c r="N8" i="9"/>
  <c r="H8" i="9"/>
  <c r="N9" i="9"/>
  <c r="H6" i="9"/>
  <c r="N6" i="9"/>
  <c r="H5" i="9"/>
  <c r="N5" i="9"/>
  <c r="H4" i="9"/>
  <c r="N4" i="9"/>
  <c r="H3" i="9"/>
  <c r="N3" i="9"/>
  <c r="H7" i="1"/>
  <c r="H8" i="1"/>
  <c r="G8" i="1"/>
  <c r="G7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<sst xmlns="http://schemas.openxmlformats.org/spreadsheetml/2006/main" count="224" uniqueCount="132">
  <si>
    <t>Date</t>
  </si>
  <si>
    <t>category</t>
  </si>
  <si>
    <t xml:space="preserve">Items </t>
  </si>
  <si>
    <t>Amount</t>
  </si>
  <si>
    <t>Major expense?</t>
  </si>
  <si>
    <t>rent</t>
  </si>
  <si>
    <t xml:space="preserve">home rent </t>
  </si>
  <si>
    <t>Yes</t>
  </si>
  <si>
    <t>Food</t>
  </si>
  <si>
    <t xml:space="preserve">Utilities </t>
  </si>
  <si>
    <t>gas bill</t>
  </si>
  <si>
    <t>phone bill</t>
  </si>
  <si>
    <t xml:space="preserve">Groceries </t>
  </si>
  <si>
    <t>No</t>
  </si>
  <si>
    <t>date</t>
  </si>
  <si>
    <t>chotumal samosa</t>
  </si>
  <si>
    <t>subway sandwhich</t>
  </si>
  <si>
    <t>tondumal pani puri</t>
  </si>
  <si>
    <t>olive garden</t>
  </si>
  <si>
    <t>tea post</t>
  </si>
  <si>
    <t xml:space="preserve">utilities </t>
  </si>
  <si>
    <t>water bill</t>
  </si>
  <si>
    <t>food</t>
  </si>
  <si>
    <t>sarvana bhavan dosa</t>
  </si>
  <si>
    <t>ProductID</t>
  </si>
  <si>
    <t>ProductName</t>
  </si>
  <si>
    <t>Category</t>
  </si>
  <si>
    <t>Price</t>
  </si>
  <si>
    <t>OrderID</t>
  </si>
  <si>
    <t>P001</t>
  </si>
  <si>
    <t>Laptop</t>
  </si>
  <si>
    <t>Electronics</t>
  </si>
  <si>
    <t>O101</t>
  </si>
  <si>
    <t>P003</t>
  </si>
  <si>
    <t>P002</t>
  </si>
  <si>
    <t>Mouse</t>
  </si>
  <si>
    <t>Accessories</t>
  </si>
  <si>
    <t>O102</t>
  </si>
  <si>
    <t>Keyboard</t>
  </si>
  <si>
    <t>O103</t>
  </si>
  <si>
    <t>P004</t>
  </si>
  <si>
    <t>Monitor</t>
  </si>
  <si>
    <t>CustomerID</t>
  </si>
  <si>
    <t>CustomerName</t>
  </si>
  <si>
    <t>City</t>
  </si>
  <si>
    <t>CreditLimit</t>
  </si>
  <si>
    <t>C101</t>
  </si>
  <si>
    <t>Rahul</t>
  </si>
  <si>
    <t>Mumbai</t>
  </si>
  <si>
    <t>C103</t>
  </si>
  <si>
    <t>C102</t>
  </si>
  <si>
    <t>Priya</t>
  </si>
  <si>
    <t>Pune</t>
  </si>
  <si>
    <t>Amit</t>
  </si>
  <si>
    <t>Delhi</t>
  </si>
  <si>
    <t>Transaction ID</t>
  </si>
  <si>
    <t>Product ID</t>
  </si>
  <si>
    <t>Region</t>
  </si>
  <si>
    <t>Product Name</t>
  </si>
  <si>
    <t>T001</t>
  </si>
  <si>
    <t>P101</t>
  </si>
  <si>
    <t>North</t>
  </si>
  <si>
    <t>T002</t>
  </si>
  <si>
    <t>P103</t>
  </si>
  <si>
    <t>South</t>
  </si>
  <si>
    <t>T003</t>
  </si>
  <si>
    <t>P102</t>
  </si>
  <si>
    <t>West</t>
  </si>
  <si>
    <t>T004</t>
  </si>
  <si>
    <t>P999</t>
  </si>
  <si>
    <t>Department</t>
  </si>
  <si>
    <t>Finance</t>
  </si>
  <si>
    <t>IT</t>
  </si>
  <si>
    <t>HR</t>
  </si>
  <si>
    <t>Rahul Sharma</t>
  </si>
  <si>
    <t>Priya Patel</t>
  </si>
  <si>
    <t>PRIYA PATEL</t>
  </si>
  <si>
    <t>Amit Kumar</t>
  </si>
  <si>
    <t>Sales</t>
  </si>
  <si>
    <t>Neha Singh</t>
  </si>
  <si>
    <t>Rohan Mehta</t>
  </si>
  <si>
    <t>Salary</t>
  </si>
  <si>
    <t>Employee_ID</t>
  </si>
  <si>
    <t>Employee_Name</t>
  </si>
  <si>
    <t>Email</t>
  </si>
  <si>
    <t>CLEAN_EMPLOYEE_ID</t>
  </si>
  <si>
    <t>STATUS</t>
  </si>
  <si>
    <t>CLEAN_EMPLOYEE_NAME</t>
  </si>
  <si>
    <t>CLEAN_DEPARTMENTS</t>
  </si>
  <si>
    <t>CLEAN_SALARY</t>
  </si>
  <si>
    <t>CLEAN_EMAIL</t>
  </si>
  <si>
    <t>CLEAN_CITY</t>
  </si>
  <si>
    <t>DUPLICATE_STATUS</t>
  </si>
  <si>
    <t>EMP001</t>
  </si>
  <si>
    <t>rAHUL shARMA</t>
  </si>
  <si>
    <t>rahul.sharma@company.com</t>
  </si>
  <si>
    <t>mumbai</t>
  </si>
  <si>
    <t>EMP002</t>
  </si>
  <si>
    <t>priya.patel@company.com</t>
  </si>
  <si>
    <t>MUMBAI</t>
  </si>
  <si>
    <t>EMP003</t>
  </si>
  <si>
    <t>amit KUMAR</t>
  </si>
  <si>
    <t>N/A</t>
  </si>
  <si>
    <t>amit.kumar@company.com</t>
  </si>
  <si>
    <t>delhi</t>
  </si>
  <si>
    <t>EMP004</t>
  </si>
  <si>
    <t>NEHA singh</t>
  </si>
  <si>
    <t>neha.singh@company.com</t>
  </si>
  <si>
    <t>DELHI</t>
  </si>
  <si>
    <t>EMP005</t>
  </si>
  <si>
    <t>rohan mehta</t>
  </si>
  <si>
    <t>rohan.mehta@company.com</t>
  </si>
  <si>
    <t>pune</t>
  </si>
  <si>
    <t>EMP006</t>
  </si>
  <si>
    <t>SARA KHAN</t>
  </si>
  <si>
    <t>sara.khan@company.com</t>
  </si>
  <si>
    <t>EMP007</t>
  </si>
  <si>
    <t>vikram joshi</t>
  </si>
  <si>
    <t>$abc</t>
  </si>
  <si>
    <t>vikram.joshi@company.com</t>
  </si>
  <si>
    <t>bangalore</t>
  </si>
  <si>
    <t>employee_id</t>
  </si>
  <si>
    <t xml:space="preserve">employee_name </t>
  </si>
  <si>
    <t xml:space="preserve">departments </t>
  </si>
  <si>
    <t>salary</t>
  </si>
  <si>
    <t>email</t>
  </si>
  <si>
    <t>city</t>
  </si>
  <si>
    <t>CHECK</t>
  </si>
  <si>
    <t>Sara Khan</t>
  </si>
  <si>
    <t>MISSING</t>
  </si>
  <si>
    <t>Vikram Joshi</t>
  </si>
  <si>
    <t>Bangalore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</si>
</sst>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_);[Red]\(&quot;$&quot;#,##0\)"/>
    <numFmt numFmtId="165" formatCode="[$-409]d\-mmm;@"/>
  </numFmts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FF0000"/>
      <name val="Calibri"/>
      <family val="2"/>
    </font>
    <font>
      <sz val="12"/>
      <color rgb="FF000000"/>
      <name val="Calibri"/>
      <family val="2"/>
    </font>
    <font>
      <sz val="12"/>
      <color rgb="FF0061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000000"/>
      </patternFill>
    </fill>
    <fill>
      <patternFill patternType="solid">
        <fgColor rgb="FFE2EFDA"/>
        <bgColor rgb="FFE2EFDA"/>
      </patternFill>
    </fill>
    <fill>
      <patternFill patternType="solid">
        <fgColor rgb="FFC6EFCE"/>
        <bgColor rgb="FFE2EFDA"/>
      </patternFill>
    </fill>
    <fill>
      <patternFill patternType="solid">
        <fgColor rgb="FFC6EFCE"/>
        <bgColor rgb="FF000000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</fills>
  <borders count="12">
    <border>
      <left/>
      <right/>
      <top/>
      <bottom/>
      <diagonal/>
    </border>
    <border>
      <left/>
      <right/>
      <top style="thin">
        <color rgb="FF70AD47"/>
      </top>
      <bottom/>
      <diagonal/>
    </border>
    <border>
      <left style="thin">
        <color rgb="FF70AD47"/>
      </left>
      <right/>
      <top style="thin">
        <color rgb="FF70AD47"/>
      </top>
      <bottom/>
      <diagonal/>
    </border>
    <border>
      <left style="thin">
        <color rgb="FF70AD47"/>
      </left>
      <right/>
      <top style="medium">
        <color rgb="FF70AD47"/>
      </top>
      <bottom/>
      <diagonal/>
    </border>
    <border>
      <left style="thin">
        <color rgb="FF70AD47"/>
      </left>
      <right/>
      <top/>
      <bottom/>
      <diagonal/>
    </border>
    <border>
      <left/>
      <right/>
      <top style="medium">
        <color rgb="FF70AD47"/>
      </top>
      <bottom/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/>
      <right style="thin">
        <color theme="5" tint="0.39997558519241921"/>
      </right>
      <top style="thin">
        <color theme="5" tint="0.39997558519241921"/>
      </top>
      <bottom/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2" borderId="2" xfId="0" applyFont="1" applyFill="1" applyBorder="1" applyAlignment="1"/>
    <xf numFmtId="0" fontId="3" fillId="0" borderId="0" xfId="0" applyFont="1" applyFill="1" applyBorder="1" applyAlignment="1"/>
    <xf numFmtId="0" fontId="5" fillId="3" borderId="3" xfId="0" applyFont="1" applyFill="1" applyBorder="1" applyAlignment="1"/>
    <xf numFmtId="0" fontId="5" fillId="0" borderId="2" xfId="0" applyFont="1" applyBorder="1" applyAlignment="1"/>
    <xf numFmtId="0" fontId="5" fillId="3" borderId="2" xfId="0" applyFont="1" applyFill="1" applyBorder="1" applyAlignment="1"/>
    <xf numFmtId="16" fontId="5" fillId="3" borderId="5" xfId="0" applyNumberFormat="1" applyFont="1" applyFill="1" applyBorder="1" applyAlignment="1"/>
    <xf numFmtId="16" fontId="5" fillId="0" borderId="1" xfId="0" applyNumberFormat="1" applyFont="1" applyBorder="1" applyAlignment="1"/>
    <xf numFmtId="16" fontId="5" fillId="3" borderId="1" xfId="0" applyNumberFormat="1" applyFont="1" applyFill="1" applyBorder="1" applyAlignment="1"/>
    <xf numFmtId="0" fontId="6" fillId="4" borderId="3" xfId="0" applyFont="1" applyFill="1" applyBorder="1" applyAlignment="1"/>
    <xf numFmtId="0" fontId="6" fillId="5" borderId="2" xfId="0" applyFont="1" applyFill="1" applyBorder="1" applyAlignment="1"/>
    <xf numFmtId="0" fontId="6" fillId="4" borderId="2" xfId="0" applyFont="1" applyFill="1" applyBorder="1" applyAlignment="1"/>
    <xf numFmtId="0" fontId="4" fillId="2" borderId="0" xfId="0" applyFont="1" applyFill="1" applyBorder="1" applyAlignment="1"/>
    <xf numFmtId="0" fontId="4" fillId="2" borderId="4" xfId="0" applyFont="1" applyFill="1" applyBorder="1" applyAlignment="1"/>
    <xf numFmtId="165" fontId="0" fillId="0" borderId="0" xfId="0" applyNumberFormat="1"/>
    <xf numFmtId="0" fontId="7" fillId="0" borderId="0" xfId="0" applyFont="1"/>
    <xf numFmtId="0" fontId="8" fillId="6" borderId="6" xfId="0" applyFont="1" applyFill="1" applyBorder="1"/>
    <xf numFmtId="0" fontId="8" fillId="6" borderId="7" xfId="0" applyFont="1" applyFill="1" applyBorder="1"/>
    <xf numFmtId="0" fontId="8" fillId="6" borderId="8" xfId="0" applyFont="1" applyFill="1" applyBorder="1"/>
    <xf numFmtId="0" fontId="0" fillId="7" borderId="6" xfId="0" applyFont="1" applyFill="1" applyBorder="1"/>
    <xf numFmtId="0" fontId="0" fillId="7" borderId="7" xfId="0" applyFont="1" applyFill="1" applyBorder="1"/>
    <xf numFmtId="0" fontId="0" fillId="7" borderId="8" xfId="0" applyFont="1" applyFill="1" applyBorder="1"/>
    <xf numFmtId="0" fontId="0" fillId="0" borderId="6" xfId="0" applyFont="1" applyBorder="1"/>
    <xf numFmtId="0" fontId="0" fillId="0" borderId="7" xfId="0" applyFont="1" applyBorder="1"/>
    <xf numFmtId="0" fontId="0" fillId="0" borderId="8" xfId="0" applyFont="1" applyBorder="1"/>
    <xf numFmtId="0" fontId="0" fillId="0" borderId="9" xfId="0" applyFont="1" applyBorder="1"/>
    <xf numFmtId="0" fontId="0" fillId="0" borderId="10" xfId="0" applyFont="1" applyBorder="1"/>
    <xf numFmtId="0" fontId="0" fillId="7" borderId="9" xfId="0" applyFont="1" applyFill="1" applyBorder="1"/>
    <xf numFmtId="0" fontId="0" fillId="7" borderId="10" xfId="0" applyFont="1" applyFill="1" applyBorder="1"/>
    <xf numFmtId="0" fontId="0" fillId="7" borderId="11" xfId="0" applyFont="1" applyFill="1" applyBorder="1"/>
    <xf numFmtId="164" fontId="0" fillId="0" borderId="0" xfId="0" applyNumberFormat="1"/>
    <xf numFmtId="0" fontId="9" fillId="0" borderId="0" xfId="0" applyFont="1"/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rgb="FF70AD47"/>
        </left>
        <right/>
        <top style="thin">
          <color rgb="FF70AD4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rgb="FF70AD47"/>
        </left>
        <right/>
        <top style="thin">
          <color rgb="FF70AD4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rgb="FF70AD47"/>
        </left>
        <right/>
        <top style="thin">
          <color rgb="FF70AD4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rgb="FF70AD47"/>
        </left>
        <right/>
        <top style="thin">
          <color rgb="FF70AD4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66" formatCode="d\-mmm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70AD47"/>
        </top>
        <bottom/>
        <vertical/>
        <horizontal/>
      </border>
    </dxf>
    <dxf>
      <border outline="0">
        <left style="thin">
          <color rgb="FF70AD47"/>
        </left>
        <right style="thin">
          <color rgb="FF70AD47"/>
        </right>
        <top style="thin">
          <color rgb="FF70AD47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scheme val="none"/>
      </font>
      <fill>
        <patternFill patternType="solid">
          <fgColor rgb="FF000000"/>
          <bgColor rgb="FFFFF2CC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rgb="FF70AD47"/>
        </left>
        <right style="thin">
          <color rgb="FF70AD47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introduction!$H$1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introduction!$G$2:$G$4</c:f>
              <c:strCache>
                <c:ptCount val="3"/>
                <c:pt idx="0">
                  <c:v>Food</c:v>
                </c:pt>
                <c:pt idx="1">
                  <c:v>Utilities </c:v>
                </c:pt>
                <c:pt idx="2">
                  <c:v>rent</c:v>
                </c:pt>
              </c:strCache>
            </c:strRef>
          </c:cat>
          <c:val>
            <c:numRef>
              <c:f>introduction!$H$2:$H$4</c:f>
              <c:numCache>
                <c:formatCode>General</c:formatCode>
                <c:ptCount val="3"/>
                <c:pt idx="0">
                  <c:v>330</c:v>
                </c:pt>
                <c:pt idx="1">
                  <c:v>320</c:v>
                </c:pt>
                <c:pt idx="2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14-44BC-BC69-36F68A98E6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357064"/>
        <c:axId val="246260232"/>
      </c:barChart>
      <c:catAx>
        <c:axId val="245357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260232"/>
        <c:crosses val="autoZero"/>
        <c:auto val="1"/>
        <c:lblAlgn val="ctr"/>
        <c:lblOffset val="100"/>
        <c:noMultiLvlLbl val="0"/>
      </c:catAx>
      <c:valAx>
        <c:axId val="246260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357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introduction!$H$1</c:f>
              <c:strCache>
                <c:ptCount val="1"/>
                <c:pt idx="0">
                  <c:v>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1B7-4A78-A61F-51B4429698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1B7-4A78-A61F-51B4429698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1B7-4A78-A61F-51B4429698F3}"/>
              </c:ext>
            </c:extLst>
          </c:dPt>
          <c:cat>
            <c:strRef>
              <c:f>introduction!$G$2:$G$4</c:f>
              <c:strCache>
                <c:ptCount val="3"/>
                <c:pt idx="0">
                  <c:v>Food</c:v>
                </c:pt>
                <c:pt idx="1">
                  <c:v>Utilities </c:v>
                </c:pt>
                <c:pt idx="2">
                  <c:v>rent</c:v>
                </c:pt>
              </c:strCache>
            </c:strRef>
          </c:cat>
          <c:val>
            <c:numRef>
              <c:f>introduction!$H$2:$H$4</c:f>
              <c:numCache>
                <c:formatCode>General</c:formatCode>
                <c:ptCount val="3"/>
                <c:pt idx="0">
                  <c:v>330</c:v>
                </c:pt>
                <c:pt idx="1">
                  <c:v>320</c:v>
                </c:pt>
                <c:pt idx="2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16-4695-8014-D24D124FE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introduction!$H$5</c:f>
              <c:strCache>
                <c:ptCount val="1"/>
                <c:pt idx="0">
                  <c:v>Amount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introduction!$G$6:$G$8</c:f>
              <c:numCache>
                <c:formatCode>[$-409]d\-mmm;@</c:formatCode>
                <c:ptCount val="3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</c:numCache>
            </c:numRef>
          </c:cat>
          <c:val>
            <c:numRef>
              <c:f>introduction!$H$6:$H$8</c:f>
              <c:numCache>
                <c:formatCode>General</c:formatCode>
                <c:ptCount val="3"/>
                <c:pt idx="0">
                  <c:v>880</c:v>
                </c:pt>
                <c:pt idx="1">
                  <c:v>170</c:v>
                </c:pt>
                <c:pt idx="2">
                  <c:v>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C1-4D96-AD13-2EBF5E448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5599496"/>
        <c:axId val="225639432"/>
      </c:lineChart>
      <c:dateAx>
        <c:axId val="225599496"/>
        <c:scaling>
          <c:orientation val="minMax"/>
        </c:scaling>
        <c:delete val="0"/>
        <c:axPos val="b"/>
        <c:numFmt formatCode="[$-409]d\-m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639432"/>
        <c:crosses val="autoZero"/>
        <c:auto val="1"/>
        <c:lblOffset val="100"/>
        <c:baseTimeUnit val="days"/>
      </c:dateAx>
      <c:valAx>
        <c:axId val="225639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599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0</xdr:row>
      <xdr:rowOff>0</xdr:rowOff>
    </xdr:from>
    <xdr:to>
      <xdr:col>13</xdr:col>
      <xdr:colOff>200025</xdr:colOff>
      <xdr:row>10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228BC5-D967-7D2F-F144-5BF40A3609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285750</xdr:colOff>
      <xdr:row>6</xdr:row>
      <xdr:rowOff>38100</xdr:rowOff>
    </xdr:from>
    <xdr:to>
      <xdr:col>17</xdr:col>
      <xdr:colOff>400050</xdr:colOff>
      <xdr:row>16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41889B-5D63-0E41-B612-15B3045C65A4}"/>
            </a:ext>
            <a:ext uri="{147F2762-F138-4A5C-976F-8EAC2B608ADB}">
              <a16:predDERef xmlns:a16="http://schemas.microsoft.com/office/drawing/2014/main" pred="{17228BC5-D967-7D2F-F144-5BF40A3609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13</xdr:col>
      <xdr:colOff>323850</xdr:colOff>
      <xdr:row>0</xdr:row>
      <xdr:rowOff>9525</xdr:rowOff>
    </xdr:from>
    <xdr:to>
      <xdr:col>16</xdr:col>
      <xdr:colOff>333375</xdr:colOff>
      <xdr:row>5</xdr:row>
      <xdr:rowOff>161925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4" name="category">
              <a:extLst>
                <a:ext uri="{FF2B5EF4-FFF2-40B4-BE49-F238E27FC236}">
                  <a16:creationId xmlns:a16="http://schemas.microsoft.com/office/drawing/2014/main" id="{FB0DF805-7609-59AC-60D2-E01A67F78221}"/>
                </a:ext>
                <a:ext uri="{147F2762-F138-4A5C-976F-8EAC2B608ADB}">
                  <a16:predDERef xmlns:a16="http://schemas.microsoft.com/office/drawing/2014/main" pred="{3141889B-5D63-0E41-B612-15B3045C65A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63200" y="9525"/>
              <a:ext cx="1838325" cy="1152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5</xdr:col>
      <xdr:colOff>304800</xdr:colOff>
      <xdr:row>10</xdr:row>
      <xdr:rowOff>114300</xdr:rowOff>
    </xdr:from>
    <xdr:to>
      <xdr:col>12</xdr:col>
      <xdr:colOff>19050</xdr:colOff>
      <xdr:row>20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6CEAE41-FBA8-E4C9-36B0-7EAEE0B6958B}"/>
            </a:ext>
            <a:ext uri="{147F2762-F138-4A5C-976F-8EAC2B608ADB}">
              <a16:predDERef xmlns:a16="http://schemas.microsoft.com/office/drawing/2014/main" pred="{FB0DF805-7609-59AC-60D2-E01A67F782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extLst>
    <x:ext xmlns:x15="http://schemas.microsoft.com/office/spreadsheetml/2010/11/main" uri="{2F2917AC-EB37-4324-AD4E-5DD8C200BD13}">
      <x15:tableSlicerCache tableId="3" column="2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ategory" cache="Slicer_category" caption="category" rowHeight="228600"/>
</slicers>
</file>

<file path=xl/tables/table1.xml><?xml version="1.0" encoding="utf-8"?>
<table xmlns="http://schemas.openxmlformats.org/spreadsheetml/2006/main" id="3" name="myexpenses" displayName="myexpenses" ref="A1:E13" totalsRowShown="0" headerRowDxfId="13" dataDxfId="12" tableBorderDxfId="11">
  <autoFilter ref="A1:E13"/>
  <tableColumns count="5">
    <tableColumn id="1" name="Date" dataDxfId="10"/>
    <tableColumn id="2" name="category" dataDxfId="9"/>
    <tableColumn id="3" name="Items " dataDxfId="8"/>
    <tableColumn id="4" name="Amount" dataDxfId="7"/>
    <tableColumn id="5" name="Major expense?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ProductTable" displayName="ProductTable" ref="A1:D5" totalsRowShown="0" headerRowDxfId="5">
  <autoFilter ref="A1:D5"/>
  <tableColumns count="4">
    <tableColumn id="1" name="ProductID"/>
    <tableColumn id="2" name="ProductName"/>
    <tableColumn id="3" name="Category"/>
    <tableColumn id="4" name="Price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id="2" name="OrderTable" displayName="OrderTable" ref="H1:L4" totalsRowShown="0" headerRowDxfId="4">
  <autoFilter ref="H1:L4"/>
  <tableColumns count="5">
    <tableColumn id="1" name="OrderID"/>
    <tableColumn id="2" name="ProductID"/>
    <tableColumn id="3" name="ProductName" dataDxfId="3">
      <calculatedColumnFormula array="1">_xlfn.XLOOKUP(OrderTable[[#This Row],[ProductID]:[ProductID]],ProductTable[[ProductID]:[ProductID]],ProductTable[ProductName],"not found")</calculatedColumnFormula>
    </tableColumn>
    <tableColumn id="4" name="Category">
      <calculatedColumnFormula array="1">_xlfn.XLOOKUP(OrderTable[[#This Row],[ProductID]:[ProductID]],ProductTable[[ProductID]:[ProductID]],ProductTable[Category],"not found")</calculatedColumnFormula>
    </tableColumn>
    <tableColumn id="5" name="Price">
      <calculatedColumnFormula array="1">_xlfn.XLOOKUP(OrderTable[[#This Row],[ProductID]:[ProductID]],ProductTable[[ProductID]:[ProductID]],ProductTable[Price],"not found")</calculatedColumnFormula>
    </tableColumn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id="4" name="customer_details" displayName="customer_details" ref="A7:D10" totalsRowShown="0" headerRowDxfId="2">
  <autoFilter ref="A7:D10"/>
  <tableColumns count="4">
    <tableColumn id="1" name="CustomerID"/>
    <tableColumn id="2" name="CustomerName"/>
    <tableColumn id="3" name="City"/>
    <tableColumn id="4" name="CreditLimi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ustomerTable" displayName="customerTable" ref="H7:K8" totalsRowShown="0" headerRowDxfId="1">
  <autoFilter ref="H7:K8"/>
  <tableColumns count="4">
    <tableColumn id="1" name="CustomerID"/>
    <tableColumn id="2" name="CustomerName">
      <calculatedColumnFormula array="1">_xlfn.XLOOKUP(customerTable[[#This Row],[CustomerID]:[CustomerID]],customer_details[[CustomerID]:[CustomerID]],customer_details[CustomerName],"NOT FOUND",0)</calculatedColumnFormula>
    </tableColumn>
    <tableColumn id="3" name="City">
      <calculatedColumnFormula array="1">_xlfn.XLOOKUP(customerTable[[#This Row],[CustomerID]:[CustomerID]],customer_details[[CustomerID]:[CustomerID]],customer_details[City],"NOT FOUND",0)</calculatedColumnFormula>
    </tableColumn>
    <tableColumn id="4" name="CreditLimit">
      <calculatedColumnFormula array="1">_xlfn.XLOOKUP(customerTable[[#This Row],[CustomerID]:[CustomerID]],customer_details[[CustomerID]:[CustomerID]],customer_details[CreditLimit],"NOT FOUND",0)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10" name="employee_records" displayName="employee_records" ref="A1:F8" totalsRowShown="0" headerRowDxfId="0">
  <autoFilter ref="A1:F8"/>
  <tableColumns count="6">
    <tableColumn id="1" name="employee_id"/>
    <tableColumn id="2" name="employee_name "/>
    <tableColumn id="3" name="departments "/>
    <tableColumn id="4" name="salary"/>
    <tableColumn id="5" name="email"/>
    <tableColumn id="6" name="city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H13"/>
  <sheetViews>
    <sheetView workbookViewId="0">
      <selection activeCell="R24" sqref="R24"/>
    </sheetView>
  </sheetViews>
  <sheetFormatPr defaultRowHeight="14.25" x14ac:dyDescent="0.45"/>
  <cols>
    <col min="1" max="1" width="11.73046875" customWidth="1"/>
    <col min="2" max="2" width="12.59765625" customWidth="1"/>
    <col min="3" max="3" width="22.265625" customWidth="1"/>
    <col min="4" max="4" width="12" customWidth="1"/>
    <col min="5" max="5" width="18.73046875" customWidth="1"/>
    <col min="7" max="7" width="9.265625" bestFit="1" customWidth="1"/>
  </cols>
  <sheetData>
    <row r="1" spans="1:8" s="1" customFormat="1" ht="15.75" x14ac:dyDescent="0.5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G1" s="2" t="s">
        <v>1</v>
      </c>
      <c r="H1" s="2" t="s">
        <v>3</v>
      </c>
    </row>
    <row r="2" spans="1:8" ht="15.75" x14ac:dyDescent="0.5">
      <c r="A2" s="7">
        <v>46143</v>
      </c>
      <c r="B2" s="4" t="s">
        <v>5</v>
      </c>
      <c r="C2" s="4" t="s">
        <v>6</v>
      </c>
      <c r="D2" s="4">
        <v>500</v>
      </c>
      <c r="E2" s="10" t="s">
        <v>7</v>
      </c>
      <c r="G2" s="3" t="s">
        <v>8</v>
      </c>
      <c r="H2" s="3">
        <v>330</v>
      </c>
    </row>
    <row r="3" spans="1:8" ht="15.75" x14ac:dyDescent="0.5">
      <c r="A3" s="8">
        <v>46143</v>
      </c>
      <c r="B3" s="5" t="s">
        <v>9</v>
      </c>
      <c r="C3" s="5" t="s">
        <v>10</v>
      </c>
      <c r="D3" s="5">
        <v>200</v>
      </c>
      <c r="E3" s="11" t="s">
        <v>7</v>
      </c>
      <c r="G3" s="3" t="s">
        <v>9</v>
      </c>
      <c r="H3" s="3">
        <v>320</v>
      </c>
    </row>
    <row r="4" spans="1:8" ht="15.75" x14ac:dyDescent="0.5">
      <c r="A4" s="9">
        <v>46143</v>
      </c>
      <c r="B4" s="6" t="s">
        <v>9</v>
      </c>
      <c r="C4" s="6" t="s">
        <v>11</v>
      </c>
      <c r="D4" s="6">
        <v>100</v>
      </c>
      <c r="E4" s="12" t="s">
        <v>7</v>
      </c>
      <c r="G4" s="3" t="s">
        <v>5</v>
      </c>
      <c r="H4" s="3">
        <v>500</v>
      </c>
    </row>
    <row r="5" spans="1:8" ht="15.75" x14ac:dyDescent="0.5">
      <c r="A5" s="8">
        <v>46143</v>
      </c>
      <c r="B5" s="5" t="s">
        <v>8</v>
      </c>
      <c r="C5" s="5" t="s">
        <v>12</v>
      </c>
      <c r="D5" s="5">
        <v>50</v>
      </c>
      <c r="E5" s="5" t="s">
        <v>13</v>
      </c>
      <c r="G5" s="2" t="s">
        <v>14</v>
      </c>
      <c r="H5" s="2" t="s">
        <v>3</v>
      </c>
    </row>
    <row r="6" spans="1:8" ht="15.75" x14ac:dyDescent="0.5">
      <c r="A6" s="9">
        <v>46143</v>
      </c>
      <c r="B6" s="6" t="s">
        <v>8</v>
      </c>
      <c r="C6" s="6" t="s">
        <v>15</v>
      </c>
      <c r="D6" s="6">
        <v>20</v>
      </c>
      <c r="E6" s="6" t="s">
        <v>13</v>
      </c>
      <c r="G6" s="15" cm="1">
        <f t="array" ref="G6:G8">_xlfn.UNIQUE(myexpenses[Date])</f>
        <v>46143</v>
      </c>
      <c r="H6">
        <f>SUMIF(myexpenses[Date],G6,myexpenses[Amount])</f>
        <v>880</v>
      </c>
    </row>
    <row r="7" spans="1:8" ht="15.75" x14ac:dyDescent="0.5">
      <c r="A7" s="8">
        <v>46143</v>
      </c>
      <c r="B7" s="5" t="s">
        <v>8</v>
      </c>
      <c r="C7" s="5" t="s">
        <v>16</v>
      </c>
      <c r="D7" s="5">
        <v>10</v>
      </c>
      <c r="E7" s="5" t="s">
        <v>13</v>
      </c>
      <c r="G7" s="15">
        <v>46144</v>
      </c>
      <c r="H7">
        <f>SUMIF(myexpenses[Date],G7,myexpenses[Amount])</f>
        <v>170</v>
      </c>
    </row>
    <row r="8" spans="1:8" ht="15.75" x14ac:dyDescent="0.5">
      <c r="A8" s="9">
        <v>46144</v>
      </c>
      <c r="B8" s="6" t="s">
        <v>8</v>
      </c>
      <c r="C8" s="6" t="s">
        <v>17</v>
      </c>
      <c r="D8" s="6">
        <v>30</v>
      </c>
      <c r="E8" s="6" t="s">
        <v>13</v>
      </c>
      <c r="G8" s="15">
        <v>46145</v>
      </c>
      <c r="H8">
        <f>SUMIF(myexpenses[Date],G8,myexpenses[Amount])</f>
        <v>160</v>
      </c>
    </row>
    <row r="9" spans="1:8" ht="15.75" x14ac:dyDescent="0.5">
      <c r="A9" s="8">
        <v>46144</v>
      </c>
      <c r="B9" s="5" t="s">
        <v>8</v>
      </c>
      <c r="C9" s="5" t="s">
        <v>18</v>
      </c>
      <c r="D9" s="5">
        <v>30</v>
      </c>
      <c r="E9" s="5" t="s">
        <v>13</v>
      </c>
    </row>
    <row r="10" spans="1:8" ht="15.75" x14ac:dyDescent="0.5">
      <c r="A10" s="9">
        <v>46144</v>
      </c>
      <c r="B10" s="6" t="s">
        <v>8</v>
      </c>
      <c r="C10" s="6" t="s">
        <v>19</v>
      </c>
      <c r="D10" s="6">
        <v>90</v>
      </c>
      <c r="E10" s="6" t="s">
        <v>13</v>
      </c>
    </row>
    <row r="11" spans="1:8" ht="15.75" x14ac:dyDescent="0.5">
      <c r="A11" s="8">
        <v>46144</v>
      </c>
      <c r="B11" s="5" t="s">
        <v>20</v>
      </c>
      <c r="C11" s="5" t="s">
        <v>21</v>
      </c>
      <c r="D11" s="5">
        <v>20</v>
      </c>
      <c r="E11" s="5" t="s">
        <v>13</v>
      </c>
    </row>
    <row r="12" spans="1:8" ht="15.75" x14ac:dyDescent="0.5">
      <c r="A12" s="9">
        <v>46145</v>
      </c>
      <c r="B12" s="6" t="s">
        <v>22</v>
      </c>
      <c r="C12" s="6" t="s">
        <v>12</v>
      </c>
      <c r="D12" s="6">
        <v>90</v>
      </c>
      <c r="E12" s="6" t="s">
        <v>13</v>
      </c>
    </row>
    <row r="13" spans="1:8" ht="15.75" x14ac:dyDescent="0.5">
      <c r="A13" s="8">
        <v>46145</v>
      </c>
      <c r="B13" s="5" t="s">
        <v>8</v>
      </c>
      <c r="C13" s="5" t="s">
        <v>23</v>
      </c>
      <c r="D13" s="5">
        <v>70</v>
      </c>
      <c r="E13" s="5" t="s">
        <v>13</v>
      </c>
    </row>
  </sheetData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17"/>
  <sheetViews>
    <sheetView workbookViewId="0">
      <selection activeCell="D16" sqref="D16"/>
    </sheetView>
  </sheetViews>
  <sheetFormatPr defaultRowHeight="14.25" x14ac:dyDescent="0.45"/>
  <cols>
    <col min="1" max="1" width="16.3984375" bestFit="1" customWidth="1"/>
    <col min="2" max="2" width="17.73046875" bestFit="1" customWidth="1"/>
    <col min="3" max="3" width="14.265625" bestFit="1" customWidth="1"/>
    <col min="4" max="4" width="16.265625" bestFit="1" customWidth="1"/>
    <col min="8" max="8" width="14" bestFit="1" customWidth="1"/>
    <col min="9" max="9" width="17.3984375" customWidth="1"/>
    <col min="10" max="10" width="15.86328125" customWidth="1"/>
    <col min="11" max="11" width="13.265625" bestFit="1" customWidth="1"/>
  </cols>
  <sheetData>
    <row r="1" spans="1:12" x14ac:dyDescent="0.45">
      <c r="A1" s="16" t="s">
        <v>24</v>
      </c>
      <c r="B1" s="16" t="s">
        <v>25</v>
      </c>
      <c r="C1" s="16" t="s">
        <v>26</v>
      </c>
      <c r="D1" s="16" t="s">
        <v>27</v>
      </c>
      <c r="H1" s="16" t="s">
        <v>28</v>
      </c>
      <c r="I1" s="16" t="s">
        <v>24</v>
      </c>
      <c r="J1" s="16" t="s">
        <v>25</v>
      </c>
      <c r="K1" s="16" t="s">
        <v>26</v>
      </c>
      <c r="L1" s="16" t="s">
        <v>27</v>
      </c>
    </row>
    <row r="2" spans="1:12" x14ac:dyDescent="0.45">
      <c r="A2" t="s">
        <v>29</v>
      </c>
      <c r="B2" t="s">
        <v>30</v>
      </c>
      <c r="C2" t="s">
        <v>31</v>
      </c>
      <c r="D2">
        <v>60000</v>
      </c>
      <c r="H2" t="s">
        <v>32</v>
      </c>
      <c r="I2" t="s">
        <v>33</v>
      </c>
      <c r="J2" t="str" cm="1">
        <f t="array" ref="J2">_xlfn.XLOOKUP(OrderTable[[#This Row],[ProductID]:[ProductID]],ProductTable[[ProductID]:[ProductID]],ProductTable[ProductName],"not found")</f>
        <v>Keyboard</v>
      </c>
      <c r="K2" t="str" cm="1">
        <f t="array" ref="K2">_xlfn.XLOOKUP(OrderTable[[#This Row],[ProductID]:[ProductID]],ProductTable[[ProductID]:[ProductID]],ProductTable[Category],"not found")</f>
        <v>Accessories</v>
      </c>
      <c r="L2" cm="1">
        <f t="array" ref="L2">_xlfn.XLOOKUP(OrderTable[[#This Row],[ProductID]:[ProductID]],ProductTable[[ProductID]:[ProductID]],ProductTable[Price],"not found")</f>
        <v>3000</v>
      </c>
    </row>
    <row r="3" spans="1:12" x14ac:dyDescent="0.45">
      <c r="A3" t="s">
        <v>34</v>
      </c>
      <c r="B3" t="s">
        <v>35</v>
      </c>
      <c r="C3" t="s">
        <v>36</v>
      </c>
      <c r="D3">
        <v>1500</v>
      </c>
      <c r="H3" t="s">
        <v>37</v>
      </c>
      <c r="I3" t="s">
        <v>29</v>
      </c>
      <c r="J3" t="str" cm="1">
        <f t="array" ref="J3">_xlfn.XLOOKUP(OrderTable[[#This Row],[ProductID]:[ProductID]],ProductTable[[ProductID]:[ProductID]],ProductTable[ProductName],"not found")</f>
        <v>Laptop</v>
      </c>
      <c r="K3" t="str" cm="1">
        <f t="array" ref="K3">_xlfn.XLOOKUP(OrderTable[[#This Row],[ProductID]:[ProductID]],ProductTable[[ProductID]:[ProductID]],ProductTable[Category],"not found")</f>
        <v>Electronics</v>
      </c>
      <c r="L3" cm="1">
        <f t="array" ref="L3">_xlfn.XLOOKUP(OrderTable[[#This Row],[ProductID]:[ProductID]],ProductTable[[ProductID]:[ProductID]],ProductTable[Price],"not found")</f>
        <v>60000</v>
      </c>
    </row>
    <row r="4" spans="1:12" x14ac:dyDescent="0.45">
      <c r="A4" t="s">
        <v>33</v>
      </c>
      <c r="B4" t="s">
        <v>38</v>
      </c>
      <c r="C4" t="s">
        <v>36</v>
      </c>
      <c r="D4">
        <v>3000</v>
      </c>
      <c r="H4" t="s">
        <v>39</v>
      </c>
      <c r="I4" t="s">
        <v>40</v>
      </c>
      <c r="J4" t="str" cm="1">
        <f t="array" ref="J4">_xlfn.XLOOKUP(OrderTable[[#This Row],[ProductID]:[ProductID]],ProductTable[[ProductID]:[ProductID]],ProductTable[ProductName],"not found")</f>
        <v>Monitor</v>
      </c>
      <c r="K4" t="str" cm="1">
        <f t="array" ref="K4">_xlfn.XLOOKUP(OrderTable[[#This Row],[ProductID]:[ProductID]],ProductTable[[ProductID]:[ProductID]],ProductTable[Category],"not found")</f>
        <v>Electronics</v>
      </c>
      <c r="L4" cm="1">
        <f t="array" ref="L4">_xlfn.XLOOKUP(OrderTable[[#This Row],[ProductID]:[ProductID]],ProductTable[[ProductID]:[ProductID]],ProductTable[Price],"not found")</f>
        <v>20000</v>
      </c>
    </row>
    <row r="5" spans="1:12" x14ac:dyDescent="0.45">
      <c r="A5" t="s">
        <v>40</v>
      </c>
      <c r="B5" t="s">
        <v>41</v>
      </c>
      <c r="C5" t="s">
        <v>31</v>
      </c>
      <c r="D5">
        <v>20000</v>
      </c>
    </row>
    <row r="7" spans="1:12" x14ac:dyDescent="0.45">
      <c r="A7" s="16" t="s">
        <v>42</v>
      </c>
      <c r="B7" s="16" t="s">
        <v>43</v>
      </c>
      <c r="C7" s="16" t="s">
        <v>44</v>
      </c>
      <c r="D7" s="16" t="s">
        <v>45</v>
      </c>
      <c r="H7" s="16" t="s">
        <v>42</v>
      </c>
      <c r="I7" s="16" t="s">
        <v>43</v>
      </c>
      <c r="J7" s="16" t="s">
        <v>44</v>
      </c>
      <c r="K7" s="16" t="s">
        <v>45</v>
      </c>
    </row>
    <row r="8" spans="1:12" x14ac:dyDescent="0.45">
      <c r="A8" t="s">
        <v>46</v>
      </c>
      <c r="B8" t="s">
        <v>47</v>
      </c>
      <c r="C8" t="s">
        <v>48</v>
      </c>
      <c r="D8">
        <v>50000</v>
      </c>
      <c r="H8" t="s">
        <v>49</v>
      </c>
      <c r="I8" t="str" cm="1">
        <f t="array" ref="I8">_xlfn.XLOOKUP(customerTable[[#This Row],[CustomerID]:[CustomerID]],customer_details[[CustomerID]:[CustomerID]],customer_details[CustomerName],"NOT FOUND",0)</f>
        <v>Amit</v>
      </c>
      <c r="J8" t="str" cm="1">
        <f t="array" ref="J8">_xlfn.XLOOKUP(customerTable[[#This Row],[CustomerID]:[CustomerID]],customer_details[[CustomerID]:[CustomerID]],customer_details[City],"NOT FOUND",0)</f>
        <v>Delhi</v>
      </c>
      <c r="K8" cm="1">
        <f t="array" ref="K8">_xlfn.XLOOKUP(customerTable[[#This Row],[CustomerID]:[CustomerID]],customer_details[[CustomerID]:[CustomerID]],customer_details[CreditLimit],"NOT FOUND",0)</f>
        <v>60000</v>
      </c>
    </row>
    <row r="9" spans="1:12" x14ac:dyDescent="0.45">
      <c r="A9" t="s">
        <v>50</v>
      </c>
      <c r="B9" t="s">
        <v>51</v>
      </c>
      <c r="C9" t="s">
        <v>52</v>
      </c>
      <c r="D9">
        <v>75000</v>
      </c>
    </row>
    <row r="10" spans="1:12" x14ac:dyDescent="0.45">
      <c r="A10" t="s">
        <v>49</v>
      </c>
      <c r="B10" t="s">
        <v>53</v>
      </c>
      <c r="C10" t="s">
        <v>54</v>
      </c>
      <c r="D10">
        <v>60000</v>
      </c>
    </row>
    <row r="12" spans="1:12" x14ac:dyDescent="0.45">
      <c r="A12" s="16"/>
      <c r="B12" s="16"/>
      <c r="C12" s="16"/>
      <c r="D12" s="16"/>
    </row>
    <row r="13" spans="1:12" x14ac:dyDescent="0.45">
      <c r="A13" s="17" t="s">
        <v>55</v>
      </c>
      <c r="B13" s="18" t="s">
        <v>56</v>
      </c>
      <c r="C13" s="18" t="s">
        <v>57</v>
      </c>
      <c r="D13" s="19" t="s">
        <v>58</v>
      </c>
      <c r="H13" s="16"/>
      <c r="I13" s="16"/>
      <c r="J13" s="16"/>
    </row>
    <row r="14" spans="1:12" x14ac:dyDescent="0.45">
      <c r="A14" s="20" t="s">
        <v>59</v>
      </c>
      <c r="B14" s="21" t="s">
        <v>60</v>
      </c>
      <c r="C14" s="21" t="s">
        <v>61</v>
      </c>
      <c r="D14" s="22" t="str">
        <f>_xlfn.XLOOKUP(B14,$H$15:$H$17,$I$15:$I$17,"NOT FOUND")</f>
        <v>Laptop</v>
      </c>
      <c r="H14" s="17" t="s">
        <v>56</v>
      </c>
      <c r="I14" s="18" t="s">
        <v>58</v>
      </c>
      <c r="J14" s="19" t="s">
        <v>27</v>
      </c>
    </row>
    <row r="15" spans="1:12" x14ac:dyDescent="0.45">
      <c r="A15" s="23" t="s">
        <v>62</v>
      </c>
      <c r="B15" s="24" t="s">
        <v>63</v>
      </c>
      <c r="C15" s="24" t="s">
        <v>64</v>
      </c>
      <c r="D15" s="22" t="str">
        <f t="shared" ref="D15:D17" si="0">_xlfn.XLOOKUP(B15,$H$15:$H$17,$I$15:$I$17,"NOT FOUND")</f>
        <v>Keyboard</v>
      </c>
      <c r="H15" s="20" t="s">
        <v>60</v>
      </c>
      <c r="I15" s="21" t="s">
        <v>30</v>
      </c>
      <c r="J15" s="22">
        <v>65000</v>
      </c>
    </row>
    <row r="16" spans="1:12" x14ac:dyDescent="0.45">
      <c r="A16" s="20" t="s">
        <v>65</v>
      </c>
      <c r="B16" s="21" t="s">
        <v>66</v>
      </c>
      <c r="C16" s="21" t="s">
        <v>67</v>
      </c>
      <c r="D16" s="22" t="str">
        <f t="shared" si="0"/>
        <v>Mouse</v>
      </c>
      <c r="H16" s="23" t="s">
        <v>66</v>
      </c>
      <c r="I16" s="24" t="s">
        <v>35</v>
      </c>
      <c r="J16" s="25">
        <v>1200</v>
      </c>
    </row>
    <row r="17" spans="1:10" x14ac:dyDescent="0.45">
      <c r="A17" s="26" t="s">
        <v>68</v>
      </c>
      <c r="B17" s="27" t="s">
        <v>69</v>
      </c>
      <c r="C17" s="27" t="s">
        <v>61</v>
      </c>
      <c r="D17" s="22" t="str">
        <f t="shared" si="0"/>
        <v>NOT FOUND</v>
      </c>
      <c r="H17" s="28" t="s">
        <v>63</v>
      </c>
      <c r="I17" s="29" t="s">
        <v>38</v>
      </c>
      <c r="J17" s="30">
        <v>2500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N18"/>
  <sheetViews>
    <sheetView workbookViewId="0">
      <selection activeCell="N4" sqref="N4"/>
    </sheetView>
  </sheetViews>
  <sheetFormatPr defaultRowHeight="14.25" x14ac:dyDescent="0.45"/>
  <cols>
    <col min="1" max="1" width="16.3984375" customWidth="1"/>
    <col min="2" max="2" width="16.1328125" customWidth="1"/>
    <col min="3" max="3" width="22.73046875" customWidth="1"/>
    <col min="4" max="4" width="15.59765625" customWidth="1"/>
    <col min="5" max="5" width="31.3984375" customWidth="1"/>
    <col min="6" max="6" width="18.59765625" customWidth="1"/>
    <col min="7" max="7" width="19.86328125" customWidth="1"/>
    <col min="8" max="8" width="16" customWidth="1"/>
    <col min="9" max="9" width="23" customWidth="1"/>
    <col min="10" max="10" width="21" customWidth="1"/>
    <col min="11" max="11" width="20" customWidth="1"/>
    <col min="12" max="12" width="26.73046875" customWidth="1"/>
    <col min="13" max="13" width="17.86328125" customWidth="1"/>
    <col min="14" max="14" width="19" customWidth="1"/>
  </cols>
  <sheetData>
    <row r="1" spans="1:14" x14ac:dyDescent="0.45">
      <c r="A1" s="16" t="s">
        <v>82</v>
      </c>
      <c r="B1" s="16" t="s">
        <v>83</v>
      </c>
      <c r="C1" s="16" t="s">
        <v>70</v>
      </c>
      <c r="D1" s="16" t="s">
        <v>81</v>
      </c>
      <c r="E1" s="16" t="s">
        <v>84</v>
      </c>
      <c r="F1" s="16" t="s">
        <v>44</v>
      </c>
      <c r="G1" s="16" t="s">
        <v>85</v>
      </c>
      <c r="H1" s="16" t="s">
        <v>86</v>
      </c>
      <c r="I1" s="16" t="s">
        <v>87</v>
      </c>
      <c r="J1" s="16" t="s">
        <v>88</v>
      </c>
      <c r="K1" s="16" t="s">
        <v>89</v>
      </c>
      <c r="L1" s="33" t="s">
        <v>90</v>
      </c>
      <c r="M1" s="33" t="s">
        <v>91</v>
      </c>
      <c r="N1" s="33" t="s">
        <v>92</v>
      </c>
    </row>
    <row r="2" spans="1:14" x14ac:dyDescent="0.45">
      <c r="A2" t="s">
        <v>93</v>
      </c>
      <c r="B2" t="s">
        <v>94</v>
      </c>
      <c r="C2" t="s">
        <v>71</v>
      </c>
      <c r="D2" s="31">
        <v>45000</v>
      </c>
      <c r="E2" t="s">
        <v>95</v>
      </c>
      <c r="F2" t="s">
        <v>96</v>
      </c>
      <c r="G2" t="str">
        <f t="shared" ref="G2:G9" si="0">TRIM(A2)</f>
        <v>EMP001</v>
      </c>
      <c r="H2" t="str">
        <f t="shared" ref="H2:H9" si="1">IF(LEN(G2)=6,"VALID","INVALID")</f>
        <v>VALID</v>
      </c>
      <c r="I2" t="str">
        <f t="shared" ref="I2:I9" si="2">PROPER(TRIM(B2))</f>
        <v>Rahul Sharma</v>
      </c>
      <c r="J2" t="s">
        <v>71</v>
      </c>
      <c r="K2">
        <f t="shared" ref="K2:K9" si="3">IFERROR(VALUE(SUBSTITUTE(D2,"$","")),"CHECK")</f>
        <v>45000</v>
      </c>
      <c r="L2" t="str">
        <f t="shared" ref="L2:L9" si="4">TRIM(E2)</f>
        <v>rahul.sharma@company.com</v>
      </c>
      <c r="M2" t="str">
        <f t="shared" ref="M2:M9" si="5">IF(PROPER(F2)="","MISSING",PROPER(F2))</f>
        <v>Mumbai</v>
      </c>
      <c r="N2" t="str">
        <f t="shared" ref="N2:N9" si="6">IF(COUNTIFS($G$2:$G$9,G2,$I$2:$I$9,I2,$J$2:$J$9,J2,$K$2:$K$9,K2,$L$2:$L$9,L2,$M$2:$M$9,M2)&gt;1,"DUPLICATE","UNIQUE")</f>
        <v>UNIQUE</v>
      </c>
    </row>
    <row r="3" spans="1:14" x14ac:dyDescent="0.45">
      <c r="A3" t="s">
        <v>97</v>
      </c>
      <c r="B3" t="s">
        <v>76</v>
      </c>
      <c r="C3" t="s">
        <v>71</v>
      </c>
      <c r="D3" s="31">
        <v>52500</v>
      </c>
      <c r="E3" t="s">
        <v>98</v>
      </c>
      <c r="F3" t="s">
        <v>99</v>
      </c>
      <c r="G3" t="str">
        <f t="shared" si="0"/>
        <v>EMP002</v>
      </c>
      <c r="H3" t="str">
        <f t="shared" si="1"/>
        <v>VALID</v>
      </c>
      <c r="I3" t="str">
        <f t="shared" si="2"/>
        <v>Priya Patel</v>
      </c>
      <c r="J3" t="s">
        <v>71</v>
      </c>
      <c r="K3">
        <f t="shared" si="3"/>
        <v>52500</v>
      </c>
      <c r="L3" t="str">
        <f t="shared" si="4"/>
        <v>priya.patel@company.com</v>
      </c>
      <c r="M3" t="str">
        <f t="shared" si="5"/>
        <v>Mumbai</v>
      </c>
      <c r="N3" t="str">
        <f t="shared" si="6"/>
        <v>UNIQUE</v>
      </c>
    </row>
    <row r="4" spans="1:14" x14ac:dyDescent="0.45">
      <c r="A4" t="s">
        <v>100</v>
      </c>
      <c r="B4" t="s">
        <v>101</v>
      </c>
      <c r="C4" t="s">
        <v>73</v>
      </c>
      <c r="D4" t="s">
        <v>102</v>
      </c>
      <c r="E4" t="s">
        <v>103</v>
      </c>
      <c r="F4" t="s">
        <v>104</v>
      </c>
      <c r="G4" t="str">
        <f t="shared" si="0"/>
        <v>EMP003</v>
      </c>
      <c r="H4" t="str">
        <f t="shared" si="1"/>
        <v>VALID</v>
      </c>
      <c r="I4" t="str">
        <f t="shared" si="2"/>
        <v>Amit Kumar</v>
      </c>
      <c r="J4" t="s">
        <v>73</v>
      </c>
      <c r="K4" t="str">
        <f t="shared" si="3"/>
        <v>CHECK</v>
      </c>
      <c r="L4" t="str">
        <f t="shared" si="4"/>
        <v>amit.kumar@company.com</v>
      </c>
      <c r="M4" t="str">
        <f t="shared" si="5"/>
        <v>Delhi</v>
      </c>
      <c r="N4" t="str">
        <f t="shared" si="6"/>
        <v>UNIQUE</v>
      </c>
    </row>
    <row r="5" spans="1:14" x14ac:dyDescent="0.45">
      <c r="A5" t="s">
        <v>105</v>
      </c>
      <c r="B5" t="s">
        <v>106</v>
      </c>
      <c r="C5" t="s">
        <v>73</v>
      </c>
      <c r="D5" s="31">
        <v>48000</v>
      </c>
      <c r="E5" t="s">
        <v>107</v>
      </c>
      <c r="F5" t="s">
        <v>108</v>
      </c>
      <c r="G5" t="str">
        <f t="shared" si="0"/>
        <v>EMP004</v>
      </c>
      <c r="H5" t="str">
        <f t="shared" si="1"/>
        <v>VALID</v>
      </c>
      <c r="I5" t="str">
        <f t="shared" si="2"/>
        <v>Neha Singh</v>
      </c>
      <c r="J5" t="s">
        <v>73</v>
      </c>
      <c r="K5">
        <f t="shared" si="3"/>
        <v>48000</v>
      </c>
      <c r="L5" t="str">
        <f t="shared" si="4"/>
        <v>neha.singh@company.com</v>
      </c>
      <c r="M5" t="str">
        <f t="shared" si="5"/>
        <v>Delhi</v>
      </c>
      <c r="N5" t="str">
        <f t="shared" si="6"/>
        <v>UNIQUE</v>
      </c>
    </row>
    <row r="6" spans="1:14" x14ac:dyDescent="0.45">
      <c r="A6" t="s">
        <v>109</v>
      </c>
      <c r="B6" t="s">
        <v>110</v>
      </c>
      <c r="C6" t="s">
        <v>78</v>
      </c>
      <c r="D6" s="31">
        <v>61000</v>
      </c>
      <c r="E6" t="s">
        <v>111</v>
      </c>
      <c r="F6" t="s">
        <v>112</v>
      </c>
      <c r="G6" t="str">
        <f t="shared" si="0"/>
        <v>EMP005</v>
      </c>
      <c r="H6" t="str">
        <f t="shared" si="1"/>
        <v>VALID</v>
      </c>
      <c r="I6" t="str">
        <f t="shared" si="2"/>
        <v>Rohan Mehta</v>
      </c>
      <c r="J6" t="s">
        <v>78</v>
      </c>
      <c r="K6">
        <f t="shared" si="3"/>
        <v>61000</v>
      </c>
      <c r="L6" t="str">
        <f t="shared" si="4"/>
        <v>rohan.mehta@company.com</v>
      </c>
      <c r="M6" t="str">
        <f t="shared" si="5"/>
        <v>Pune</v>
      </c>
      <c r="N6" t="str">
        <f t="shared" si="6"/>
        <v>DUPLICATE</v>
      </c>
    </row>
    <row r="7" spans="1:14" x14ac:dyDescent="0.45">
      <c r="A7" t="s">
        <v>109</v>
      </c>
      <c r="B7" t="s">
        <v>110</v>
      </c>
      <c r="C7" t="s">
        <v>78</v>
      </c>
      <c r="D7" s="31">
        <v>61000</v>
      </c>
      <c r="E7" t="s">
        <v>111</v>
      </c>
      <c r="F7" t="s">
        <v>112</v>
      </c>
      <c r="G7" t="str">
        <f t="shared" si="0"/>
        <v>EMP005</v>
      </c>
      <c r="H7" t="str">
        <f t="shared" si="1"/>
        <v>VALID</v>
      </c>
      <c r="I7" t="str">
        <f t="shared" si="2"/>
        <v>Rohan Mehta</v>
      </c>
      <c r="J7" t="s">
        <v>78</v>
      </c>
      <c r="K7">
        <f t="shared" si="3"/>
        <v>61000</v>
      </c>
      <c r="L7" t="str">
        <f t="shared" si="4"/>
        <v>rohan.mehta@company.com</v>
      </c>
      <c r="M7" t="str">
        <f t="shared" si="5"/>
        <v>Pune</v>
      </c>
      <c r="N7" t="str">
        <f t="shared" si="6"/>
        <v>DUPLICATE</v>
      </c>
    </row>
    <row r="8" spans="1:14" x14ac:dyDescent="0.45">
      <c r="A8" t="s">
        <v>113</v>
      </c>
      <c r="B8" t="s">
        <v>114</v>
      </c>
      <c r="C8" t="s">
        <v>78</v>
      </c>
      <c r="D8" s="31">
        <v>57500</v>
      </c>
      <c r="E8" t="s">
        <v>115</v>
      </c>
      <c r="F8" s="32"/>
      <c r="G8" t="str">
        <f t="shared" si="0"/>
        <v>EMP006</v>
      </c>
      <c r="H8" t="str">
        <f t="shared" si="1"/>
        <v>VALID</v>
      </c>
      <c r="I8" t="str">
        <f t="shared" si="2"/>
        <v>Sara Khan</v>
      </c>
      <c r="J8" t="s">
        <v>78</v>
      </c>
      <c r="K8">
        <f t="shared" si="3"/>
        <v>57500</v>
      </c>
      <c r="L8" t="str">
        <f t="shared" si="4"/>
        <v>sara.khan@company.com</v>
      </c>
      <c r="M8" t="str">
        <f t="shared" si="5"/>
        <v>MISSING</v>
      </c>
      <c r="N8" t="str">
        <f t="shared" si="6"/>
        <v>UNIQUE</v>
      </c>
    </row>
    <row r="9" spans="1:14" x14ac:dyDescent="0.45">
      <c r="A9" t="s">
        <v>116</v>
      </c>
      <c r="B9" t="s">
        <v>117</v>
      </c>
      <c r="C9" t="s">
        <v>72</v>
      </c>
      <c r="D9" t="s">
        <v>118</v>
      </c>
      <c r="E9" t="s">
        <v>119</v>
      </c>
      <c r="F9" t="s">
        <v>120</v>
      </c>
      <c r="G9" t="str">
        <f t="shared" si="0"/>
        <v>EMP007</v>
      </c>
      <c r="H9" t="str">
        <f t="shared" si="1"/>
        <v>VALID</v>
      </c>
      <c r="I9" t="str">
        <f t="shared" si="2"/>
        <v>Vikram Joshi</v>
      </c>
      <c r="J9" t="s">
        <v>72</v>
      </c>
      <c r="K9" t="str">
        <f t="shared" si="3"/>
        <v>CHECK</v>
      </c>
      <c r="L9" t="str">
        <f t="shared" si="4"/>
        <v>vikram.joshi@company.com</v>
      </c>
      <c r="M9" t="str">
        <f t="shared" si="5"/>
        <v>Bangalore</v>
      </c>
      <c r="N9" t="str">
        <f t="shared" si="6"/>
        <v>UNIQUE</v>
      </c>
    </row>
    <row r="13" spans="1:14" x14ac:dyDescent="0.45">
      <c r="J13" t="str">
        <f t="shared" ref="J13:J18" si="7">PROPER(TRIM(C13))</f>
        <v/>
      </c>
    </row>
    <row r="14" spans="1:14" x14ac:dyDescent="0.45">
      <c r="J14" t="str">
        <f t="shared" si="7"/>
        <v/>
      </c>
    </row>
    <row r="15" spans="1:14" x14ac:dyDescent="0.45">
      <c r="J15" t="str">
        <f t="shared" si="7"/>
        <v/>
      </c>
    </row>
    <row r="16" spans="1:14" x14ac:dyDescent="0.45">
      <c r="J16" t="str">
        <f t="shared" si="7"/>
        <v/>
      </c>
    </row>
    <row r="17" spans="10:10" x14ac:dyDescent="0.45">
      <c r="J17" t="str">
        <f t="shared" si="7"/>
        <v/>
      </c>
    </row>
    <row r="18" spans="10:10" x14ac:dyDescent="0.45">
      <c r="J18" t="str">
        <f t="shared" si="7"/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F8"/>
  <sheetViews>
    <sheetView tabSelected="1" workbookViewId="0">
      <selection activeCell="C11" sqref="C11"/>
    </sheetView>
  </sheetViews>
  <sheetFormatPr defaultRowHeight="14.25" x14ac:dyDescent="0.45"/>
  <cols>
    <col min="1" max="1" width="21.1328125" customWidth="1"/>
    <col min="2" max="2" width="20.265625" customWidth="1"/>
    <col min="3" max="3" width="21.1328125" customWidth="1"/>
    <col min="4" max="4" width="16.86328125" customWidth="1"/>
    <col min="5" max="5" width="29.1328125" customWidth="1"/>
    <col min="6" max="6" width="16.86328125" customWidth="1"/>
  </cols>
  <sheetData>
    <row r="1" spans="1:6" ht="15.75" x14ac:dyDescent="0.5">
      <c r="A1" s="34" t="s">
        <v>121</v>
      </c>
      <c r="B1" s="34" t="s">
        <v>122</v>
      </c>
      <c r="C1" s="34" t="s">
        <v>123</v>
      </c>
      <c r="D1" s="34" t="s">
        <v>124</v>
      </c>
      <c r="E1" s="34" t="s">
        <v>125</v>
      </c>
      <c r="F1" s="34" t="s">
        <v>126</v>
      </c>
    </row>
    <row r="2" spans="1:6" x14ac:dyDescent="0.45">
      <c r="A2" t="s">
        <v>93</v>
      </c>
      <c r="B2" t="s">
        <v>74</v>
      </c>
      <c r="C2" t="s">
        <v>71</v>
      </c>
      <c r="D2">
        <v>45000</v>
      </c>
      <c r="E2" t="s">
        <v>95</v>
      </c>
      <c r="F2" t="s">
        <v>48</v>
      </c>
    </row>
    <row r="3" spans="1:6" x14ac:dyDescent="0.45">
      <c r="A3" t="s">
        <v>97</v>
      </c>
      <c r="B3" t="s">
        <v>75</v>
      </c>
      <c r="C3" t="s">
        <v>71</v>
      </c>
      <c r="D3">
        <v>52500</v>
      </c>
      <c r="E3" t="s">
        <v>98</v>
      </c>
      <c r="F3" t="s">
        <v>48</v>
      </c>
    </row>
    <row r="4" spans="1:6" x14ac:dyDescent="0.45">
      <c r="A4" t="s">
        <v>100</v>
      </c>
      <c r="B4" t="s">
        <v>77</v>
      </c>
      <c r="C4" t="s">
        <v>73</v>
      </c>
      <c r="D4" t="s">
        <v>127</v>
      </c>
      <c r="E4" t="s">
        <v>103</v>
      </c>
      <c r="F4" t="s">
        <v>54</v>
      </c>
    </row>
    <row r="5" spans="1:6" x14ac:dyDescent="0.45">
      <c r="A5" t="s">
        <v>105</v>
      </c>
      <c r="B5" t="s">
        <v>79</v>
      </c>
      <c r="C5" t="s">
        <v>73</v>
      </c>
      <c r="D5">
        <v>48000</v>
      </c>
      <c r="E5" t="s">
        <v>107</v>
      </c>
      <c r="F5" t="s">
        <v>54</v>
      </c>
    </row>
    <row r="6" spans="1:6" x14ac:dyDescent="0.45">
      <c r="A6" t="s">
        <v>109</v>
      </c>
      <c r="B6" t="s">
        <v>80</v>
      </c>
      <c r="C6" t="s">
        <v>78</v>
      </c>
      <c r="D6">
        <v>61000</v>
      </c>
      <c r="E6" t="s">
        <v>111</v>
      </c>
      <c r="F6" t="s">
        <v>52</v>
      </c>
    </row>
    <row r="7" spans="1:6" x14ac:dyDescent="0.45">
      <c r="A7" t="s">
        <v>113</v>
      </c>
      <c r="B7" t="s">
        <v>128</v>
      </c>
      <c r="C7" t="s">
        <v>78</v>
      </c>
      <c r="D7">
        <v>57500</v>
      </c>
      <c r="E7" t="s">
        <v>115</v>
      </c>
      <c r="F7" t="s">
        <v>129</v>
      </c>
    </row>
    <row r="8" spans="1:6" x14ac:dyDescent="0.45">
      <c r="A8" t="s">
        <v>116</v>
      </c>
      <c r="B8" t="s">
        <v>130</v>
      </c>
      <c r="C8" t="s">
        <v>72</v>
      </c>
      <c r="D8" t="s">
        <v>127</v>
      </c>
      <c r="E8" t="s">
        <v>119</v>
      </c>
      <c r="F8" t="s">
        <v>131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introduction</vt:lpstr>
      <vt:lpstr>XLOOKUP</vt:lpstr>
      <vt:lpstr>cleaning sample dataset</vt:lpstr>
      <vt:lpstr>cleaned_dataset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Admin</cp:lastModifiedBy>
  <cp:revision/>
  <dcterms:created xsi:type="dcterms:W3CDTF">2026-07-29T13:59:36Z</dcterms:created>
  <dcterms:modified xsi:type="dcterms:W3CDTF">2026-09-04T10:12:44Z</dcterms:modified>
  <cp:category/>
  <cp:contentStatus/>
</cp:coreProperties>
</file>